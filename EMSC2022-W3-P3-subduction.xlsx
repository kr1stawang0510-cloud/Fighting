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 tabRatio="500"/>
  </bookViews>
  <sheets>
    <sheet name="Subduction Data" sheetId="1" r:id="rId1"/>
    <sheet name="Subduction Pl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<sst xmlns="http://schemas.openxmlformats.org/spreadsheetml/2006/main" count="51" uniqueCount="46">
  <si>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Arc-Trench Distances and Angles of Subduction</t>
  </si>
  <si>
    <t>Volcano</t>
  </si>
  <si>
    <t>Location</t>
  </si>
  <si>
    <t>Subducting plate</t>
  </si>
  <si>
    <t>Overriding plate</t>
  </si>
  <si>
    <t>Oceanic trench</t>
  </si>
  <si>
    <t>Distance to trench (km)</t>
  </si>
  <si>
    <t>Angle of subduction (degrees)</t>
  </si>
  <si>
    <t>Mt. St. Helens</t>
  </si>
  <si>
    <t>Washington State, US</t>
  </si>
  <si>
    <t>Juan de Fuca</t>
  </si>
  <si>
    <t>North American</t>
  </si>
  <si>
    <t>Cascades</t>
  </si>
  <si>
    <t>Masaya</t>
  </si>
  <si>
    <t>Nicaragua</t>
  </si>
  <si>
    <t>Cocos</t>
  </si>
  <si>
    <t>Caribbean</t>
  </si>
  <si>
    <t>Middle America</t>
  </si>
  <si>
    <t>Pinatubo</t>
  </si>
  <si>
    <t>Luzon, Indonesia</t>
  </si>
  <si>
    <t>Australian</t>
  </si>
  <si>
    <t>Sunda</t>
  </si>
  <si>
    <t>Java</t>
  </si>
  <si>
    <t>Soufrière Hills</t>
  </si>
  <si>
    <t>Montserrat Island</t>
  </si>
  <si>
    <t>North America</t>
  </si>
  <si>
    <t>Lesser Antilles</t>
  </si>
  <si>
    <t>Nishino-Shima</t>
  </si>
  <si>
    <t>Bonin Islands (S of Japan)</t>
  </si>
  <si>
    <t>Pacific</t>
  </si>
  <si>
    <t>Philippine</t>
  </si>
  <si>
    <t xml:space="preserve">Izu-Bonin </t>
  </si>
  <si>
    <t>Adatara</t>
  </si>
  <si>
    <t>Honshu, Japan</t>
  </si>
  <si>
    <t>Okhotsk</t>
  </si>
  <si>
    <t>Japan</t>
  </si>
  <si>
    <t>Làscar</t>
  </si>
  <si>
    <t>Chile</t>
  </si>
  <si>
    <t>Nazca</t>
  </si>
  <si>
    <t>South America</t>
  </si>
  <si>
    <t>Peru-Chile</t>
  </si>
  <si>
    <t>Pagan</t>
  </si>
  <si>
    <t>Mariana Islands, US</t>
  </si>
  <si>
    <t>Mariana</t>
  </si>
  <si>
    <t>Depth</t>
  </si>
  <si>
    <t>Zone of melting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</si>
</sst>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000000"/>
      <name val="Verdana"/>
      <charset val="134"/>
    </font>
    <font>
      <b/>
      <sz val="12"/>
      <name val="Arial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6FF66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" fontId="0" fillId="0" borderId="0" xfId="0" applyNumberFormat="1"/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Medium4"/>
  <colors>
    <mruColors>
      <color rgb="00FFE902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'Subduction Plot'!$D$6</c:f>
              <c:strCache>
                <c:ptCount val="1"/>
                <c:pt idx="0">
                  <c:v>Cascades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Plot'!$D$7:$D$15</c:f>
              <c:numCache>
                <c:formatCode>General</c:formatCode>
                <c:ptCount val="9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'Subduction Plot'!$E$6</c:f>
              <c:strCache>
                <c:ptCount val="1"/>
                <c:pt idx="0">
                  <c:v>Middle America</c:v>
                </c:pt>
              </c:strCache>
            </c:strRef>
          </c:tx>
          <c:spPr>
            <a:ln w="47625" cap="rnd" cmpd="sng" algn="ctr">
              <a:solidFill>
                <a:schemeClr val="accent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Plot'!$E$7:$E$15</c:f>
              <c:numCache>
                <c:formatCode>General</c:formatCode>
                <c:ptCount val="9"/>
                <c:pt idx="0">
                  <c:v>0</c:v>
                </c:pt>
                <c:pt idx="2">
                  <c:v>150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'Subduction Plot'!$F$6</c:f>
              <c:strCache>
                <c:ptCount val="1"/>
                <c:pt idx="0">
                  <c:v>Java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Plot'!$F$7:$F$15</c:f>
              <c:numCache>
                <c:formatCode>General</c:formatCode>
                <c:ptCount val="9"/>
                <c:pt idx="0">
                  <c:v>0</c:v>
                </c:pt>
                <c:pt idx="3">
                  <c:v>150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'Subduction Plot'!$G$6</c:f>
              <c:strCache>
                <c:ptCount val="1"/>
                <c:pt idx="0">
                  <c:v>Lesser Antilles</c:v>
                </c:pt>
              </c:strCache>
            </c:strRef>
          </c:tx>
          <c:spPr>
            <a:ln w="47625" cap="rnd" cmpd="sng" algn="ctr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Plot'!$G$7:$G$15</c:f>
              <c:numCache>
                <c:formatCode>General</c:formatCode>
                <c:ptCount val="9"/>
                <c:pt idx="0">
                  <c:v>0</c:v>
                </c:pt>
                <c:pt idx="4">
                  <c:v>150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'Subduction Plot'!$H$6</c:f>
              <c:strCache>
                <c:ptCount val="1"/>
                <c:pt idx="0">
                  <c:v>Izu-Bonin 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Plot'!$H$7:$H$15</c:f>
              <c:numCache>
                <c:formatCode>General</c:formatCode>
                <c:ptCount val="9"/>
                <c:pt idx="0">
                  <c:v>0</c:v>
                </c:pt>
                <c:pt idx="5">
                  <c:v>150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'Subduction Plot'!$I$6</c:f>
              <c:strCache>
                <c:ptCount val="1"/>
                <c:pt idx="0">
                  <c:v>Japan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Plot'!$I$7:$I$15</c:f>
              <c:numCache>
                <c:formatCode>General</c:formatCode>
                <c:ptCount val="9"/>
                <c:pt idx="0">
                  <c:v>0</c:v>
                </c:pt>
                <c:pt idx="6">
                  <c:v>150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'Subduction Plot'!$J$6</c:f>
              <c:strCache>
                <c:ptCount val="1"/>
                <c:pt idx="0">
                  <c:v>Peru-Chile</c:v>
                </c:pt>
              </c:strCache>
            </c:strRef>
          </c:tx>
          <c:spPr>
            <a:ln w="4762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Plot'!$J$7:$J$15</c:f>
              <c:numCache>
                <c:formatCode>General</c:formatCode>
                <c:ptCount val="9"/>
                <c:pt idx="0">
                  <c:v>0</c:v>
                </c:pt>
                <c:pt idx="7">
                  <c:v>150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'Subduction Plot'!$K$6</c:f>
              <c:strCache>
                <c:ptCount val="1"/>
                <c:pt idx="0">
                  <c:v>Mariana</c:v>
                </c:pt>
              </c:strCache>
            </c:strRef>
          </c:tx>
          <c:spPr>
            <a:ln w="47625" cap="rnd" cmpd="sng" algn="ctr">
              <a:solidFill>
                <a:srgbClr val="66006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'Subduction Plot'!$C$7:$C$15</c:f>
              <c:numCache>
                <c:formatCode>General</c:formatCode>
                <c:ptCount val="9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</c:numCache>
            </c:numRef>
          </c:xVal>
          <c:yVal>
            <c:numRef>
              <c:f>'Subduction Plot'!$K$7:$K$16</c:f>
              <c:numCache>
                <c:formatCode>General</c:formatCode>
                <c:ptCount val="10"/>
                <c:pt idx="0">
                  <c:v>0</c:v>
                </c:pt>
                <c:pt idx="8">
                  <c:v>150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'Subduction Plot'!$L$6</c:f>
              <c:strCache>
                <c:ptCount val="1"/>
                <c:pt idx="0">
                  <c:v>Zone of melting</c:v>
                </c:pt>
              </c:strCache>
            </c:strRef>
          </c:tx>
          <c:spPr>
            <a:ln w="304800" cap="rnd" cmpd="sng" algn="ctr">
              <a:solidFill>
                <a:schemeClr val="accent2">
                  <a:lumMod val="75000"/>
                  <a:alpha val="2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'Subduction Plot'!$C$7:$C$16</c:f>
              <c:numCache>
                <c:formatCode>General</c:formatCode>
                <c:ptCount val="10"/>
                <c:pt idx="0">
                  <c:v>0</c:v>
                </c:pt>
                <c:pt idx="1">
                  <c:v>250.56</c:v>
                </c:pt>
                <c:pt idx="2">
                  <c:v>1012.33</c:v>
                </c:pt>
                <c:pt idx="3">
                  <c:v>3068.2</c:v>
                </c:pt>
                <c:pt idx="4">
                  <c:v>376.19</c:v>
                </c:pt>
                <c:pt idx="5">
                  <c:v>320.64</c:v>
                </c:pt>
                <c:pt idx="6">
                  <c:v>252.85</c:v>
                </c:pt>
                <c:pt idx="7">
                  <c:v>370</c:v>
                </c:pt>
                <c:pt idx="8">
                  <c:v>826.99</c:v>
                </c:pt>
                <c:pt idx="9">
                  <c:v>450</c:v>
                </c:pt>
              </c:numCache>
            </c:numRef>
          </c:xVal>
          <c:yVal>
            <c:numRef>
              <c:f>'Subduction Plot'!$L$7:$L$16</c:f>
              <c:numCache>
                <c:formatCode>General</c:formatCode>
                <c:ptCount val="10"/>
                <c:pt idx="0">
                  <c:v>150</c:v>
                </c:pt>
                <c:pt idx="9">
                  <c:v>150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897912"/>
        <c:axId val="2126904760"/>
      </c:scatterChart>
      <c:valAx>
        <c:axId val="2126897912"/>
        <c:scaling>
          <c:orientation val="minMax"/>
          <c:max val="40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 from base of trench (km)</a:t>
                </a:r>
                <a:endParaRPr lang="en-US" sz="16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6904760"/>
        <c:crosses val="autoZero"/>
        <c:crossBetween val="midCat"/>
      </c:valAx>
      <c:valAx>
        <c:axId val="2126904760"/>
        <c:scaling>
          <c:orientation val="maxMin"/>
          <c:max val="180"/>
          <c:min val="0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Depth</a:t>
                </a:r>
                <a:r>
                  <a:rPr lang="en-US" sz="1600" baseline="0"/>
                  <a:t> (km)</a:t>
                </a:r>
                <a:endParaRPr lang="en-US" sz="16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6897912"/>
        <c:crosses val="autoZero"/>
        <c:crossBetween val="midCat"/>
        <c:majorUnit val="50"/>
      </c:valAx>
    </c:plotArea>
    <c:legend>
      <c:legendPos val="r"/>
      <c:layout>
        <c:manualLayout>
          <c:xMode val="edge"/>
          <c:yMode val="edge"/>
          <c:x val="0.871563221637654"/>
          <c:y val="0.219536830866704"/>
          <c:w val="0.108052173186574"/>
          <c:h val="0.4000491686978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8e9fa093-8195-4dd8-8c6a-3aad9af2168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22225</xdr:colOff>
      <xdr:row>0</xdr:row>
      <xdr:rowOff>12700</xdr:rowOff>
    </xdr:from>
    <xdr:to>
      <xdr:col>15</xdr:col>
      <xdr:colOff>695325</xdr:colOff>
      <xdr:row>37</xdr:row>
      <xdr:rowOff>82550</xdr:rowOff>
    </xdr:to>
    <xdr:graphicFrame>
      <xdr:nvGraphicFramePr>
        <xdr:cNvPr id="2" name="Chart 1"/>
        <xdr:cNvGraphicFramePr/>
      </xdr:nvGraphicFramePr>
      <xdr:xfrm>
        <a:off x="860425" y="12700"/>
        <a:ext cx="14452600" cy="7470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77" zoomScaleNormal="77" zoomScalePageLayoutView="125" workbookViewId="0">
      <selection activeCell="I8" sqref="I8"/>
    </sheetView>
  </sheetViews>
  <sheetFormatPr defaultColWidth="11" defaultRowHeight="15.75" outlineLevelCol="7"/>
  <cols>
    <col min="1" max="1" width="15.1666666666667" customWidth="1"/>
    <col min="2" max="2" width="23" customWidth="1"/>
    <col min="3" max="3" width="15.5" customWidth="1"/>
    <col min="4" max="4" width="15.3333333333333" customWidth="1"/>
    <col min="5" max="5" width="14.8333333333333" customWidth="1"/>
    <col min="6" max="6" width="16.6666666666667" customWidth="1"/>
    <col min="7" max="7" width="18.8333333333333" customWidth="1"/>
    <col min="8" max="8" width="12.6916666666667"/>
  </cols>
  <sheetData>
    <row r="1" ht="17.6" spans="1:8">
      <c r="A1" s="2" t="s">
        <v>0</v>
      </c>
      <c r="B1" s="2"/>
      <c r="C1" s="2"/>
      <c r="D1" s="2"/>
    </row>
    <row r="3" s="1" customFormat="1" ht="45" spans="1:8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/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250.56</v>
      </c>
      <c r="G4" s="5">
        <f>ATAN(150/F4)</f>
        <v>0.53943289030177</v>
      </c>
      <c r="H4">
        <f>DEGREES(G4)</f>
        <v>30.907227944835</v>
      </c>
    </row>
    <row r="5" spans="1:8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1012.33</v>
      </c>
      <c r="G5" s="5">
        <f t="shared" ref="G5:G11" si="0">ATAN(150/F5)</f>
        <v>0.147102699432753</v>
      </c>
      <c r="H5">
        <f>DEGREES(G5)</f>
        <v>8.42836383247821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3068.2</v>
      </c>
      <c r="G6" s="5">
        <f t="shared" si="0"/>
        <v>0.0488497054716531</v>
      </c>
      <c r="H6">
        <f>DEGREES(G6)</f>
        <v>2.79888195398285</v>
      </c>
    </row>
    <row r="7" spans="1:8">
      <c r="A7" t="s">
        <v>23</v>
      </c>
      <c r="B7" t="s">
        <v>24</v>
      </c>
      <c r="C7" t="s">
        <v>25</v>
      </c>
      <c r="D7" t="s">
        <v>16</v>
      </c>
      <c r="E7" t="s">
        <v>26</v>
      </c>
      <c r="F7">
        <v>376.19</v>
      </c>
      <c r="G7" s="5">
        <f t="shared" si="0"/>
        <v>0.379415109978663</v>
      </c>
      <c r="H7">
        <f>DEGREES(G7)</f>
        <v>21.7388844852693</v>
      </c>
    </row>
    <row r="8" spans="1:8">
      <c r="A8" t="s">
        <v>27</v>
      </c>
      <c r="B8" t="s">
        <v>28</v>
      </c>
      <c r="C8" t="s">
        <v>29</v>
      </c>
      <c r="D8" t="s">
        <v>30</v>
      </c>
      <c r="E8" t="s">
        <v>31</v>
      </c>
      <c r="F8">
        <v>320.64</v>
      </c>
      <c r="G8" s="5">
        <f t="shared" si="0"/>
        <v>0.437569203360387</v>
      </c>
      <c r="H8">
        <f>DEGREES(G8)</f>
        <v>25.0708685974518</v>
      </c>
    </row>
    <row r="9" spans="1:8">
      <c r="A9" t="s">
        <v>32</v>
      </c>
      <c r="B9" t="s">
        <v>33</v>
      </c>
      <c r="C9" t="s">
        <v>29</v>
      </c>
      <c r="D9" t="s">
        <v>34</v>
      </c>
      <c r="E9" t="s">
        <v>35</v>
      </c>
      <c r="F9">
        <v>252.85</v>
      </c>
      <c r="G9" s="5">
        <f t="shared" si="0"/>
        <v>0.535431937719084</v>
      </c>
      <c r="H9">
        <f>DEGREES(G9)</f>
        <v>30.6779902478151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>
        <v>370</v>
      </c>
      <c r="G10" s="5">
        <f t="shared" si="0"/>
        <v>0.385157506363474</v>
      </c>
      <c r="H10">
        <f>DEGREES(G10)</f>
        <v>22.0678995624102</v>
      </c>
    </row>
    <row r="11" spans="1:8">
      <c r="A11" t="s">
        <v>41</v>
      </c>
      <c r="B11" t="s">
        <v>42</v>
      </c>
      <c r="C11" t="s">
        <v>29</v>
      </c>
      <c r="D11" t="s">
        <v>43</v>
      </c>
      <c r="E11" t="s">
        <v>43</v>
      </c>
      <c r="F11">
        <v>826.99</v>
      </c>
      <c r="G11" s="5">
        <f t="shared" si="0"/>
        <v>0.179429955432375</v>
      </c>
      <c r="H11">
        <f>DEGREES(G11)</f>
        <v>10.2805791644956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L16"/>
  <sheetViews>
    <sheetView zoomScale="47" zoomScaleNormal="47" workbookViewId="0">
      <selection activeCell="G40" sqref="G40"/>
    </sheetView>
  </sheetViews>
  <sheetFormatPr defaultColWidth="11" defaultRowHeight="15.75"/>
  <cols>
    <col min="3" max="9" width="14.8333333333333" customWidth="1"/>
  </cols>
  <sheetData>
    <row r="5" spans="3:12">
      <c r="D5" t="str">
        <f>'Subduction Data'!F3</f>
        <v>Distance to trench (km)</v>
      </c>
    </row>
    <row r="6" spans="3:12">
      <c r="C6" t="s">
        <v>44</v>
      </c>
      <c r="D6" t="str">
        <f>'Subduction Data'!E4</f>
        <v>Cascades</v>
      </c>
      <c r="E6" t="str">
        <f>'Subduction Data'!E5</f>
        <v>Middle America</v>
      </c>
      <c r="F6" t="str">
        <f>'Subduction Data'!E6</f>
        <v>Java</v>
      </c>
      <c r="G6" t="str">
        <f>'Subduction Data'!E7</f>
        <v>Lesser Antilles</v>
      </c>
      <c r="H6" t="str">
        <f>'Subduction Data'!E8</f>
        <v>Izu-Bonin </v>
      </c>
      <c r="I6" t="str">
        <f>'Subduction Data'!E9</f>
        <v>Japan</v>
      </c>
      <c r="J6" t="str">
        <f>'Subduction Data'!E10</f>
        <v>Peru-Chile</v>
      </c>
      <c r="K6" t="s">
        <v>43</v>
      </c>
      <c r="L6" t="s">
        <v>45</v>
      </c>
    </row>
    <row r="7" spans="3:12"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150</v>
      </c>
    </row>
    <row r="8" spans="3:12">
      <c r="C8">
        <f>'Subduction Data'!F4</f>
        <v>250.56</v>
      </c>
      <c r="D8">
        <v>150</v>
      </c>
    </row>
    <row r="9" spans="3:12">
      <c r="C9">
        <f>'Subduction Data'!F5</f>
        <v>1012.33</v>
      </c>
      <c r="E9">
        <v>150</v>
      </c>
    </row>
    <row r="10" spans="3:12">
      <c r="C10">
        <f>'Subduction Data'!F6</f>
        <v>3068.2</v>
      </c>
      <c r="F10">
        <v>150</v>
      </c>
    </row>
    <row r="11" spans="3:12">
      <c r="C11">
        <f>'Subduction Data'!F7</f>
        <v>376.19</v>
      </c>
      <c r="G11">
        <v>150</v>
      </c>
    </row>
    <row r="12" spans="3:12">
      <c r="C12">
        <f>'Subduction Data'!F8</f>
        <v>320.64</v>
      </c>
      <c r="H12">
        <v>150</v>
      </c>
    </row>
    <row r="13" spans="3:12">
      <c r="C13">
        <f>'Subduction Data'!F9</f>
        <v>252.85</v>
      </c>
      <c r="I13">
        <v>150</v>
      </c>
    </row>
    <row r="14" spans="3:12">
      <c r="C14">
        <f>'Subduction Data'!F10</f>
        <v>370</v>
      </c>
      <c r="J14">
        <v>150</v>
      </c>
    </row>
    <row r="15" spans="3:12">
      <c r="C15">
        <f>'Subduction Data'!F11</f>
        <v>826.99</v>
      </c>
      <c r="K15">
        <v>150</v>
      </c>
    </row>
    <row r="16" spans="3:12">
      <c r="C16">
        <v>450</v>
      </c>
      <c r="L16">
        <v>150</v>
      </c>
    </row>
  </sheetData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Illinois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Subduction Data</vt:lpstr>
      <vt:lpstr>Subduction Plot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Herrstrom</dc:creator>
  <cp:lastModifiedBy>1</cp:lastModifiedBy>
  <dcterms:created xsi:type="dcterms:W3CDTF">2013-11-05T14:58:00Z</dcterms:created>
  <dcterms:modified xsi:type="dcterms:W3CDTF">2026-03-12T22:09:41Z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3C3734A488AD43BDB0B3C49268DFDFB6_12</vt:lpwstr>
  </property>
  <property fmtid="{D5CDD505-2E9C-101B-9397-08002B2CF9AE}" pid="3" name="KSOProductBuildVer">
    <vt:lpwstr>2052-12.1.0.22089</vt:lpwstr>
  </property>
</Properties>
</file>